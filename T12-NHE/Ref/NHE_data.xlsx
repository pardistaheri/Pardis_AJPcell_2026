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dis/Desktop/disertation/ETC paper/NHE/"/>
    </mc:Choice>
  </mc:AlternateContent>
  <xr:revisionPtr revIDLastSave="0" documentId="13_ncr:1_{131A4E0B-E1E9-3940-85B6-229FDB45BCBD}" xr6:coauthVersionLast="47" xr6:coauthVersionMax="47" xr10:uidLastSave="{00000000-0000-0000-0000-000000000000}"/>
  <bookViews>
    <workbookView xWindow="1160" yWindow="640" windowWidth="27640" windowHeight="15660" xr2:uid="{FD4B3CDD-C5ED-9941-9B7B-FF5B8313B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  <c r="K12" i="1"/>
  <c r="K13" i="1"/>
  <c r="K14" i="1"/>
  <c r="K15" i="1"/>
  <c r="K16" i="1"/>
  <c r="K10" i="1"/>
  <c r="J11" i="1"/>
  <c r="J12" i="1"/>
  <c r="J13" i="1"/>
  <c r="J14" i="1"/>
  <c r="J15" i="1"/>
  <c r="J16" i="1"/>
  <c r="J10" i="1"/>
  <c r="P10" i="1"/>
  <c r="P11" i="1"/>
  <c r="P12" i="1"/>
  <c r="P13" i="1"/>
  <c r="P14" i="1"/>
  <c r="P15" i="1"/>
  <c r="P16" i="1"/>
</calcChain>
</file>

<file path=xl/sharedStrings.xml><?xml version="1.0" encoding="utf-8"?>
<sst xmlns="http://schemas.openxmlformats.org/spreadsheetml/2006/main" count="11" uniqueCount="11">
  <si>
    <t>temp = 25</t>
  </si>
  <si>
    <t>Eflux(nmol/mg)</t>
  </si>
  <si>
    <t>He(nM)</t>
  </si>
  <si>
    <t>Nam(mM)</t>
  </si>
  <si>
    <t>NHE data w/o regulation,Dash code</t>
  </si>
  <si>
    <t>Hm(nM)</t>
  </si>
  <si>
    <t>Nae(mM)</t>
  </si>
  <si>
    <t>1/Hx</t>
  </si>
  <si>
    <t>1/eflux</t>
  </si>
  <si>
    <t>Hx</t>
  </si>
  <si>
    <t>eflux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</si>
</sst>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708B-8622-0A4F-ACBD-26167CBA6413}">
  <dimension ref="A1:P31"/>
  <sheetViews>
    <sheetView tabSelected="1" workbookViewId="0">
      <selection activeCell="N10" sqref="N10:N16"/>
    </sheetView>
  </sheetViews>
  <sheetFormatPr baseColWidth="10" defaultRowHeight="16" x14ac:dyDescent="0.2"/>
  <cols>
    <col min="16" max="16" width="11.1640625" bestFit="1" customWidth="1"/>
  </cols>
  <sheetData>
    <row r="1" spans="1:16" ht="19" x14ac:dyDescent="0.25">
      <c r="A1" s="1" t="s">
        <v>4</v>
      </c>
      <c r="B1" s="2"/>
      <c r="C1" s="2"/>
      <c r="D1" s="2"/>
    </row>
    <row r="2" spans="1:16" x14ac:dyDescent="0.2">
      <c r="A2" s="3" t="s">
        <v>0</v>
      </c>
      <c r="B2" s="2"/>
      <c r="C2" s="2"/>
      <c r="D2" s="2"/>
    </row>
    <row r="3" spans="1:16" x14ac:dyDescent="0.2">
      <c r="A3" t="s">
        <v>1</v>
      </c>
      <c r="B3" t="s">
        <v>3</v>
      </c>
      <c r="C3" t="s">
        <v>2</v>
      </c>
      <c r="D3" t="s">
        <v>6</v>
      </c>
      <c r="E3" t="s">
        <v>5</v>
      </c>
    </row>
    <row r="4" spans="1:16" x14ac:dyDescent="0.2">
      <c r="A4" s="2">
        <v>1.7255603793893</v>
      </c>
      <c r="B4" s="2">
        <v>0</v>
      </c>
      <c r="C4" s="2">
        <v>64.496182268678695</v>
      </c>
      <c r="D4" s="2">
        <v>15</v>
      </c>
      <c r="E4" s="2">
        <v>100</v>
      </c>
    </row>
    <row r="5" spans="1:16" x14ac:dyDescent="0.2">
      <c r="A5" s="2">
        <v>1.7255603793893</v>
      </c>
      <c r="B5" s="2">
        <v>0</v>
      </c>
      <c r="C5" s="2">
        <v>64.496182268678695</v>
      </c>
      <c r="D5" s="2">
        <v>15</v>
      </c>
      <c r="E5" s="2">
        <v>100</v>
      </c>
    </row>
    <row r="6" spans="1:16" x14ac:dyDescent="0.2">
      <c r="A6" s="2">
        <v>1.5379533781685</v>
      </c>
      <c r="B6" s="2">
        <v>0</v>
      </c>
      <c r="C6" s="2">
        <v>108.180852831333</v>
      </c>
      <c r="D6" s="2">
        <v>15</v>
      </c>
      <c r="E6" s="2">
        <v>100</v>
      </c>
    </row>
    <row r="7" spans="1:16" x14ac:dyDescent="0.2">
      <c r="A7" s="2">
        <v>1.3816178223400399</v>
      </c>
      <c r="B7" s="2">
        <v>0</v>
      </c>
      <c r="C7" s="2">
        <v>144.375979715819</v>
      </c>
      <c r="D7" s="2">
        <v>15</v>
      </c>
      <c r="E7" s="2">
        <v>100</v>
      </c>
    </row>
    <row r="8" spans="1:16" x14ac:dyDescent="0.2">
      <c r="A8" s="2">
        <v>1.0535710415869</v>
      </c>
      <c r="B8" s="2">
        <v>0</v>
      </c>
      <c r="C8" s="2">
        <v>205.47990724754899</v>
      </c>
      <c r="D8" s="2">
        <v>15</v>
      </c>
      <c r="E8" s="2">
        <v>100</v>
      </c>
    </row>
    <row r="9" spans="1:16" x14ac:dyDescent="0.2">
      <c r="A9" s="2">
        <v>1.2086388361156599</v>
      </c>
      <c r="B9" s="2">
        <v>0</v>
      </c>
      <c r="C9" s="2">
        <v>242.561383485151</v>
      </c>
      <c r="D9" s="2">
        <v>15</v>
      </c>
      <c r="E9" s="2">
        <v>100</v>
      </c>
      <c r="H9" t="s">
        <v>7</v>
      </c>
      <c r="I9" t="s">
        <v>8</v>
      </c>
      <c r="J9" t="s">
        <v>9</v>
      </c>
      <c r="K9" t="s">
        <v>10</v>
      </c>
    </row>
    <row r="10" spans="1:16" x14ac:dyDescent="0.2">
      <c r="A10" s="2">
        <v>0.947826746512753</v>
      </c>
      <c r="B10" s="2">
        <v>0</v>
      </c>
      <c r="C10" s="2">
        <v>317.50016253349997</v>
      </c>
      <c r="D10" s="2">
        <v>15</v>
      </c>
      <c r="E10" s="2">
        <v>100</v>
      </c>
      <c r="H10">
        <v>8.6899556757568899</v>
      </c>
      <c r="I10">
        <v>0.13793103448275901</v>
      </c>
      <c r="J10">
        <f>1/H10</f>
        <v>0.11507538557299955</v>
      </c>
      <c r="K10">
        <f>1/I10</f>
        <v>7.2499999999999796</v>
      </c>
      <c r="N10">
        <v>6.9619367202251299</v>
      </c>
      <c r="O10">
        <v>5.4313556558462697</v>
      </c>
      <c r="P10">
        <f>10^-N10</f>
        <v>1.0915993786047273E-7</v>
      </c>
    </row>
    <row r="11" spans="1:16" x14ac:dyDescent="0.2">
      <c r="A11" s="2">
        <v>0.74913496059465601</v>
      </c>
      <c r="B11" s="2">
        <v>0</v>
      </c>
      <c r="C11" s="2">
        <v>401.885388599539</v>
      </c>
      <c r="D11" s="2">
        <v>15</v>
      </c>
      <c r="E11" s="2">
        <v>100</v>
      </c>
      <c r="H11">
        <v>9.5160393659379405</v>
      </c>
      <c r="I11">
        <v>0.22068965517241401</v>
      </c>
      <c r="J11">
        <f t="shared" ref="J11:J16" si="0">1/H11</f>
        <v>0.10508573593962175</v>
      </c>
      <c r="K11">
        <f t="shared" ref="K11:K16" si="1">1/I11</f>
        <v>4.5312499999999956</v>
      </c>
      <c r="N11">
        <v>6.9905833189070297</v>
      </c>
      <c r="O11">
        <v>4.4462878790928704</v>
      </c>
      <c r="P11">
        <f t="shared" ref="P11:P16" si="2">10^-N11</f>
        <v>1.0219194876901818E-7</v>
      </c>
    </row>
    <row r="12" spans="1:16" x14ac:dyDescent="0.2">
      <c r="A12" s="2">
        <v>1.2793517441650399</v>
      </c>
      <c r="B12" s="2">
        <v>0</v>
      </c>
      <c r="C12" s="2">
        <v>55.3552982309131</v>
      </c>
      <c r="D12" s="2">
        <v>9.6</v>
      </c>
      <c r="E12" s="2">
        <v>100</v>
      </c>
      <c r="H12">
        <v>13.0434978589136</v>
      </c>
      <c r="I12">
        <v>0.31034482758620702</v>
      </c>
      <c r="J12">
        <f t="shared" si="0"/>
        <v>7.6666551473892036E-2</v>
      </c>
      <c r="K12">
        <f t="shared" si="1"/>
        <v>3.222222222222221</v>
      </c>
      <c r="N12">
        <v>7.1208950476872896</v>
      </c>
      <c r="O12">
        <v>3.2854876826268402</v>
      </c>
      <c r="P12">
        <f t="shared" si="2"/>
        <v>7.5701581459399913E-8</v>
      </c>
    </row>
    <row r="13" spans="1:16" x14ac:dyDescent="0.2">
      <c r="A13" s="2">
        <v>1.1076946970736701</v>
      </c>
      <c r="B13" s="2">
        <v>0</v>
      </c>
      <c r="C13" s="2">
        <v>77.132620112256404</v>
      </c>
      <c r="D13" s="2">
        <v>9.6</v>
      </c>
      <c r="E13" s="2">
        <v>100</v>
      </c>
      <c r="H13">
        <v>16.048230786567501</v>
      </c>
      <c r="I13">
        <v>0.39310344827586302</v>
      </c>
      <c r="J13">
        <f t="shared" si="0"/>
        <v>6.2312164705221468E-2</v>
      </c>
      <c r="K13">
        <f t="shared" si="1"/>
        <v>2.5438596491228007</v>
      </c>
      <c r="N13">
        <v>7.2004335940802502</v>
      </c>
      <c r="O13">
        <v>2.5629114010684799</v>
      </c>
      <c r="P13">
        <f t="shared" si="2"/>
        <v>6.3032771905963116E-8</v>
      </c>
    </row>
    <row r="14" spans="1:16" x14ac:dyDescent="0.2">
      <c r="A14" s="2">
        <v>0.97754870587215403</v>
      </c>
      <c r="B14" s="2">
        <v>0</v>
      </c>
      <c r="C14" s="2">
        <v>99.570911560104804</v>
      </c>
      <c r="D14" s="2">
        <v>9.6</v>
      </c>
      <c r="E14" s="2">
        <v>100</v>
      </c>
      <c r="H14">
        <v>18.006761325219699</v>
      </c>
      <c r="I14">
        <v>0.49655172413793203</v>
      </c>
      <c r="J14">
        <f t="shared" si="0"/>
        <v>5.553469510363486E-2</v>
      </c>
      <c r="K14">
        <f t="shared" si="1"/>
        <v>2.0138888888888848</v>
      </c>
      <c r="N14">
        <v>7.2706782506471699</v>
      </c>
      <c r="O14">
        <v>2.0063851458800501</v>
      </c>
      <c r="P14">
        <f t="shared" si="2"/>
        <v>5.361937523639717E-8</v>
      </c>
    </row>
    <row r="15" spans="1:16" x14ac:dyDescent="0.2">
      <c r="A15" s="2">
        <v>0.85236540420275497</v>
      </c>
      <c r="B15" s="2">
        <v>0</v>
      </c>
      <c r="C15" s="2">
        <v>135.165748051403</v>
      </c>
      <c r="D15" s="2">
        <v>9.6</v>
      </c>
      <c r="E15" s="2">
        <v>100</v>
      </c>
      <c r="H15">
        <v>25.9230711441664</v>
      </c>
      <c r="I15">
        <v>1.13793103448275</v>
      </c>
      <c r="J15">
        <f t="shared" si="0"/>
        <v>3.8575676255281778E-2</v>
      </c>
      <c r="K15">
        <f t="shared" si="1"/>
        <v>0.87878787878788545</v>
      </c>
      <c r="N15">
        <v>7.4289783363997497</v>
      </c>
      <c r="O15">
        <v>0.97689108615920806</v>
      </c>
      <c r="P15">
        <f t="shared" si="2"/>
        <v>3.7241028246635286E-8</v>
      </c>
    </row>
    <row r="16" spans="1:16" x14ac:dyDescent="0.2">
      <c r="A16" s="2">
        <v>0.68534597964358202</v>
      </c>
      <c r="B16" s="2">
        <v>0</v>
      </c>
      <c r="C16" s="2">
        <v>188.888487571605</v>
      </c>
      <c r="D16" s="2">
        <v>9.6</v>
      </c>
      <c r="E16" s="2">
        <v>100</v>
      </c>
      <c r="H16">
        <v>28.827736458568101</v>
      </c>
      <c r="I16">
        <v>1.8137931034482699</v>
      </c>
      <c r="J16">
        <f t="shared" si="0"/>
        <v>3.4688814414451978E-2</v>
      </c>
      <c r="K16">
        <f t="shared" si="1"/>
        <v>0.55133079847908928</v>
      </c>
      <c r="N16">
        <v>7.4704032787281198</v>
      </c>
      <c r="O16">
        <v>0.38405082350667602</v>
      </c>
      <c r="P16">
        <f t="shared" si="2"/>
        <v>3.3852965705896649E-8</v>
      </c>
    </row>
    <row r="17" spans="1:5" x14ac:dyDescent="0.2">
      <c r="A17" s="2">
        <v>0.45979282396538301</v>
      </c>
      <c r="B17" s="2">
        <v>0</v>
      </c>
      <c r="C17" s="2">
        <v>325.86088577145603</v>
      </c>
      <c r="D17" s="2">
        <v>9.6</v>
      </c>
      <c r="E17" s="2">
        <v>100</v>
      </c>
    </row>
    <row r="18" spans="1:5" x14ac:dyDescent="0.2">
      <c r="A18" s="2">
        <v>0.84745762711864403</v>
      </c>
      <c r="B18" s="2">
        <v>0</v>
      </c>
      <c r="C18" s="2">
        <v>100</v>
      </c>
      <c r="D18" s="2">
        <v>6.9582504970178896</v>
      </c>
      <c r="E18" s="2">
        <v>112.2</v>
      </c>
    </row>
    <row r="19" spans="1:5" x14ac:dyDescent="0.2">
      <c r="A19" s="2">
        <v>1.07627118644067</v>
      </c>
      <c r="B19" s="2">
        <v>0</v>
      </c>
      <c r="C19" s="2">
        <v>100</v>
      </c>
      <c r="D19" s="2">
        <v>6.8389662027832996</v>
      </c>
      <c r="E19" s="2">
        <v>112.2</v>
      </c>
    </row>
    <row r="20" spans="1:5" x14ac:dyDescent="0.2">
      <c r="A20" s="2">
        <v>1.27966101694915</v>
      </c>
      <c r="B20" s="2">
        <v>0</v>
      </c>
      <c r="C20" s="2">
        <v>100</v>
      </c>
      <c r="D20" s="2">
        <v>7.1968190854870704</v>
      </c>
      <c r="E20" s="2">
        <v>112.2</v>
      </c>
    </row>
    <row r="21" spans="1:5" x14ac:dyDescent="0.2">
      <c r="A21" s="2">
        <v>1.50847457627118</v>
      </c>
      <c r="B21" s="2">
        <v>0</v>
      </c>
      <c r="C21" s="2">
        <v>100</v>
      </c>
      <c r="D21" s="2">
        <v>11.491053677932401</v>
      </c>
      <c r="E21" s="2">
        <v>112.2</v>
      </c>
    </row>
    <row r="22" spans="1:5" x14ac:dyDescent="0.2">
      <c r="A22" s="2">
        <v>2.3898305084745699</v>
      </c>
      <c r="B22" s="2">
        <v>0</v>
      </c>
      <c r="C22" s="2">
        <v>100</v>
      </c>
      <c r="D22" s="2">
        <v>18.528827037773301</v>
      </c>
      <c r="E22" s="2">
        <v>112.2</v>
      </c>
    </row>
    <row r="23" spans="1:5" x14ac:dyDescent="0.2">
      <c r="A23" s="2">
        <v>2.5932203389830502</v>
      </c>
      <c r="B23" s="2">
        <v>0</v>
      </c>
      <c r="C23" s="2">
        <v>100</v>
      </c>
      <c r="D23" s="2">
        <v>18.349900596421399</v>
      </c>
      <c r="E23" s="2">
        <v>112.2</v>
      </c>
    </row>
    <row r="24" spans="1:5" x14ac:dyDescent="0.2">
      <c r="A24" s="2">
        <v>2.7966101694915202</v>
      </c>
      <c r="B24" s="2">
        <v>0</v>
      </c>
      <c r="C24" s="2">
        <v>100</v>
      </c>
      <c r="D24" s="2">
        <v>24.015904572564601</v>
      </c>
      <c r="E24" s="2">
        <v>112.2</v>
      </c>
    </row>
    <row r="25" spans="1:5" x14ac:dyDescent="0.2">
      <c r="A25" s="2">
        <v>2.6101694915254199</v>
      </c>
      <c r="B25" s="2">
        <v>0</v>
      </c>
      <c r="C25" s="2">
        <v>100</v>
      </c>
      <c r="D25" s="2">
        <v>25.208747514910499</v>
      </c>
      <c r="E25" s="2">
        <v>112.2</v>
      </c>
    </row>
    <row r="26" spans="1:5" x14ac:dyDescent="0.2">
      <c r="A26" s="2">
        <v>2.8389830508474501</v>
      </c>
      <c r="B26" s="2">
        <v>0</v>
      </c>
      <c r="C26" s="2">
        <v>100</v>
      </c>
      <c r="D26" s="2">
        <v>29.145129224651999</v>
      </c>
      <c r="E26" s="2">
        <v>112.2</v>
      </c>
    </row>
    <row r="27" spans="1:5" x14ac:dyDescent="0.2">
      <c r="A27" s="2">
        <v>3.2372881355932202</v>
      </c>
      <c r="B27" s="2">
        <v>0</v>
      </c>
      <c r="C27" s="2">
        <v>100</v>
      </c>
      <c r="D27" s="2">
        <v>36.481113320079501</v>
      </c>
      <c r="E27" s="2">
        <v>112.2</v>
      </c>
    </row>
    <row r="28" spans="1:5" x14ac:dyDescent="0.2">
      <c r="A28" s="2">
        <v>3.4067796610169401</v>
      </c>
      <c r="B28" s="2">
        <v>0</v>
      </c>
      <c r="C28" s="2">
        <v>100</v>
      </c>
      <c r="D28" s="2">
        <v>36.481113320079501</v>
      </c>
      <c r="E28" s="2">
        <v>112.2</v>
      </c>
    </row>
    <row r="29" spans="1:5" x14ac:dyDescent="0.2">
      <c r="A29" s="2">
        <v>3.5254237288135499</v>
      </c>
      <c r="B29" s="2">
        <v>0</v>
      </c>
      <c r="C29" s="2">
        <v>100</v>
      </c>
      <c r="D29" s="2">
        <v>36.898608349900599</v>
      </c>
      <c r="E29" s="2">
        <v>112.2</v>
      </c>
    </row>
    <row r="30" spans="1:5" x14ac:dyDescent="0.2">
      <c r="A30" s="2">
        <v>3.5932203389830502</v>
      </c>
      <c r="B30" s="2">
        <v>0</v>
      </c>
      <c r="C30" s="2">
        <v>100</v>
      </c>
      <c r="D30" s="2">
        <v>49.304174950298197</v>
      </c>
      <c r="E30" s="2">
        <v>112.2</v>
      </c>
    </row>
    <row r="31" spans="1:5" x14ac:dyDescent="0.2">
      <c r="A31" s="2">
        <v>3.7457627118643999</v>
      </c>
      <c r="B31" s="2">
        <v>0</v>
      </c>
      <c r="C31" s="2">
        <v>100</v>
      </c>
      <c r="D31" s="2">
        <v>49.065606361828998</v>
      </c>
      <c r="E31" s="2">
        <v>112.2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2023-06-01T04:16:00Z</dcterms:created>
  <dcterms:modified xsi:type="dcterms:W3CDTF">2023-06-07T01:25:53Z</dcterms:modified>
</cp:coreProperties>
</file>